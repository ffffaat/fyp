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d9f7897db5c0da/Desktop/CAT405/OneDrive_2026-02-20/Fatin Aina/"/>
    </mc:Choice>
  </mc:AlternateContent>
  <xr:revisionPtr revIDLastSave="4" documentId="8_{067D4869-9A6A-4F9F-A9C8-CF1A325143AD}" xr6:coauthVersionLast="47" xr6:coauthVersionMax="47" xr10:uidLastSave="{A2F91E0F-F879-41CA-B11B-8648261ADB6E}"/>
  <bookViews>
    <workbookView xWindow="-108" yWindow="-108" windowWidth="23256" windowHeight="12456" xr2:uid="{9F7B6280-7149-4D04-BEA4-E94BF915663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" l="1"/>
  <c r="I21" i="2"/>
  <c r="I19" i="2"/>
  <c r="I13" i="2"/>
</calcChain>
</file>

<file path=xl/sharedStrings.xml><?xml version="1.0" encoding="utf-8"?>
<sst xmlns="http://schemas.openxmlformats.org/spreadsheetml/2006/main" count="88" uniqueCount="66">
  <si>
    <t>TOTAL</t>
  </si>
  <si>
    <t>Scale</t>
  </si>
  <si>
    <t>Group:</t>
  </si>
  <si>
    <t>Total mark CLO (internal use)</t>
  </si>
  <si>
    <t>Members:</t>
  </si>
  <si>
    <t>Name</t>
  </si>
  <si>
    <t>Individual comment (if any)</t>
  </si>
  <si>
    <t>CLO #2</t>
  </si>
  <si>
    <t>CLO #3</t>
  </si>
  <si>
    <t>CLO #4</t>
  </si>
  <si>
    <t>Criteria / Scale</t>
  </si>
  <si>
    <t>Weight</t>
  </si>
  <si>
    <t>Given scale</t>
  </si>
  <si>
    <t>Mark (auto generate)</t>
  </si>
  <si>
    <t>1 -- 2</t>
  </si>
  <si>
    <t>3 -- 5</t>
  </si>
  <si>
    <t>6 -- 8</t>
  </si>
  <si>
    <t>9 -- 10</t>
  </si>
  <si>
    <t>Abstract, Intro &amp; Background</t>
  </si>
  <si>
    <t xml:space="preserve">Abstract is poorly written. Intro and domain BG is poorly described and has no citation at all and not related to the project’s domain. </t>
  </si>
  <si>
    <t>Abstract is fairly written.
Intro and domain BG is fairly described and has no/very limited/ not related citation to the project’s domain.</t>
  </si>
  <si>
    <t>Abstract is moderately written.
Intro and domain BG is moderately described and has few related citations to the project’s domain.</t>
  </si>
  <si>
    <t>Abstract, Intro and Domain BG are excellently written and described with relevant citations related to project’s domain.</t>
  </si>
  <si>
    <t>Data &amp; Task Abstraction</t>
  </si>
  <si>
    <t>Data and task abstraction are poorly written, only in point form, copy paste from internet.</t>
  </si>
  <si>
    <t>Fairly in listing all data and task abstraction. Missing few data and/or tasks. The use of point form is considered too much.</t>
  </si>
  <si>
    <t>Moderately in listing all data and task abstraction. Writing can be improved.</t>
  </si>
  <si>
    <t>Excellent in listing all data and task abstraction, written neatly in point form or as text.</t>
  </si>
  <si>
    <t>Methods &amp; Tools for Data Storytelling</t>
  </si>
  <si>
    <t>Not related to methods &amp; Tools</t>
  </si>
  <si>
    <t>Less relate to the project.</t>
  </si>
  <si>
    <t>Partly relate to your project (not just general info of every chart highlighted)</t>
  </si>
  <si>
    <t>All charts/idioms discussed related to the project and tasks.</t>
  </si>
  <si>
    <t>References</t>
  </si>
  <si>
    <t>Lack/no reference at all.</t>
  </si>
  <si>
    <t>Many of references not related to the project</t>
  </si>
  <si>
    <t>Good reference list and chosen related to the project.</t>
  </si>
  <si>
    <t>Very good reference list and carefully chosen related to the project.</t>
  </si>
  <si>
    <t>Writing Style</t>
  </si>
  <si>
    <t>Not in a report/paper format (e.g., PowerPoint slides).</t>
  </si>
  <si>
    <t>Messy report with many copy-paste, spelling error.</t>
  </si>
  <si>
    <t>Less Standardization throughout the report) – including the text, figure &amp; table captions.</t>
  </si>
  <si>
    <t>Standard and neat throughout the report.</t>
  </si>
  <si>
    <t>Vis Tool Project File &amp; Datasets</t>
  </si>
  <si>
    <t>Vis idioms are obviously not suitable for the selected attributes (types).</t>
  </si>
  <si>
    <t>Vis idioms not carefully chosen and  its suitability is low for the selected attributes (types), before proceed with any comparative study/analysis.</t>
  </si>
  <si>
    <t xml:space="preserve">Vis idioms answer all simple task identified earlier. Some should consider having dashboard(s). </t>
  </si>
  <si>
    <t>Vis idioms and dashboard(s) created are perfectly answer all tasks. Datasets were enough and tasks identified are good.</t>
  </si>
  <si>
    <t>INDIVIDUAL</t>
  </si>
  <si>
    <t>Methods &amp; Tools</t>
  </si>
  <si>
    <t>Visual Analytics</t>
  </si>
  <si>
    <t xml:space="preserve">No (or very short) analysis discussion can be found. </t>
  </si>
  <si>
    <t>Analysis discussion (in text or table) less related to the respective vis idioms. Many of them only general information about the good/bad of respective vis idioms.</t>
  </si>
  <si>
    <t>Lacking discussion on one of the areas: either the visual analytics (about the domain problem results) or the selected vis idioms (the marks, channels etc.). Analyses done moderately related to visual/graphs.</t>
  </si>
  <si>
    <t>Excellent visual analytics (on the domain problem). Thoroughly discussed and analysed the selected vis idioms (the marks, channels, etc.). Analyses done related to the visual/graphs.</t>
  </si>
  <si>
    <t>Related Work</t>
  </si>
  <si>
    <t>Lacking of discussion in both domain and vis idioms</t>
  </si>
  <si>
    <t>Fairly in discussing related work in domain problem and/or vis idioms, with less references and citations.</t>
  </si>
  <si>
    <t xml:space="preserve">Moderately in discussing related work in domain problem and/or vis idioms, with less references and citations. </t>
  </si>
  <si>
    <t>Excellent in discussing domain problems and vis idioms related to the project with good references and citations.</t>
  </si>
  <si>
    <t>Discussion and Conclusion</t>
  </si>
  <si>
    <t>Poor writing about discussion and/or conclusion.</t>
  </si>
  <si>
    <t>Fair writing about discussion and/or conclusion.</t>
  </si>
  <si>
    <t>Moderate writing about discussion and/or conclusion.</t>
  </si>
  <si>
    <t>Excellent writing about discussion and/or conclusion.</t>
  </si>
  <si>
    <t>Academic Session 2025/2026
CDS505: GROUP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</si>
</sst>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2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190F-5E65-45FB-B38D-6301328DA58F}">
  <dimension ref="A1:I48"/>
  <sheetViews>
    <sheetView tabSelected="1" topLeftCell="A7" workbookViewId="0">
      <selection activeCell="L12" sqref="L12"/>
    </sheetView>
  </sheetViews>
  <sheetFormatPr defaultColWidth="8.88671875" defaultRowHeight="14.4" x14ac:dyDescent="0.3"/>
  <cols>
    <col min="1" max="1" width="2.33203125" style="2" customWidth="1"/>
    <col min="2" max="2" width="16.44140625" style="1" customWidth="1"/>
    <col min="3" max="6" width="22.77734375" style="2" customWidth="1"/>
    <col min="7" max="7" width="10.77734375" style="2" customWidth="1"/>
    <col min="8" max="8" width="10.77734375" style="5" customWidth="1"/>
    <col min="9" max="9" width="11.44140625" style="2" customWidth="1"/>
    <col min="10" max="16384" width="8.88671875" style="2"/>
  </cols>
  <sheetData>
    <row r="1" spans="1:9" ht="33" customHeight="1" x14ac:dyDescent="0.3">
      <c r="A1" s="32" t="s">
        <v>65</v>
      </c>
      <c r="B1" s="33"/>
      <c r="C1" s="33"/>
      <c r="D1" s="33"/>
      <c r="E1" s="33"/>
      <c r="F1" s="33"/>
      <c r="G1" s="33"/>
      <c r="H1" s="33"/>
      <c r="I1" s="33"/>
    </row>
    <row r="2" spans="1:9" ht="18" customHeight="1" x14ac:dyDescent="0.3">
      <c r="B2" s="3" t="s">
        <v>2</v>
      </c>
      <c r="C2" s="4"/>
      <c r="D2" s="4"/>
      <c r="E2" s="4"/>
      <c r="F2" s="4"/>
      <c r="I2" s="6" t="s">
        <v>3</v>
      </c>
    </row>
    <row r="3" spans="1:9" ht="18" customHeight="1" x14ac:dyDescent="0.35">
      <c r="B3" s="3" t="s">
        <v>4</v>
      </c>
      <c r="C3" s="7" t="s">
        <v>5</v>
      </c>
      <c r="D3" s="4"/>
      <c r="E3" s="8" t="s">
        <v>6</v>
      </c>
      <c r="F3" s="4"/>
      <c r="G3" s="3"/>
      <c r="H3" s="9"/>
      <c r="I3" s="10" t="s">
        <v>7</v>
      </c>
    </row>
    <row r="4" spans="1:9" ht="18" x14ac:dyDescent="0.35">
      <c r="B4" s="11">
        <v>1</v>
      </c>
      <c r="C4" s="34"/>
      <c r="D4" s="34"/>
      <c r="E4" s="35"/>
      <c r="F4" s="35"/>
      <c r="G4" s="3"/>
      <c r="H4" s="9"/>
      <c r="I4" s="10" t="s">
        <v>8</v>
      </c>
    </row>
    <row r="5" spans="1:9" ht="18" x14ac:dyDescent="0.35">
      <c r="B5" s="12">
        <v>2</v>
      </c>
      <c r="C5" s="30"/>
      <c r="D5" s="30"/>
      <c r="E5" s="35"/>
      <c r="F5" s="35"/>
      <c r="G5" s="3"/>
      <c r="H5" s="9"/>
      <c r="I5" s="10" t="s">
        <v>9</v>
      </c>
    </row>
    <row r="6" spans="1:9" ht="18" x14ac:dyDescent="0.35">
      <c r="B6" s="12">
        <v>3</v>
      </c>
      <c r="C6" s="30"/>
      <c r="D6" s="30"/>
      <c r="E6" s="31"/>
      <c r="F6" s="31"/>
      <c r="G6" s="3"/>
      <c r="H6" s="9"/>
      <c r="I6" s="10" t="s">
        <v>0</v>
      </c>
    </row>
    <row r="7" spans="1:9" ht="18" x14ac:dyDescent="0.35">
      <c r="B7" s="12">
        <v>4</v>
      </c>
      <c r="C7" s="30"/>
      <c r="D7" s="30"/>
      <c r="E7" s="31"/>
      <c r="F7" s="31"/>
      <c r="G7" s="3"/>
      <c r="H7" s="9"/>
      <c r="I7" s="13"/>
    </row>
    <row r="8" spans="1:9" ht="18" x14ac:dyDescent="0.35">
      <c r="B8" s="3"/>
      <c r="C8" s="7"/>
      <c r="D8" s="14"/>
      <c r="E8" s="14"/>
      <c r="F8" s="7"/>
      <c r="G8" s="3"/>
      <c r="H8" s="9"/>
      <c r="I8" s="13"/>
    </row>
    <row r="9" spans="1:9" ht="18" x14ac:dyDescent="0.35">
      <c r="B9" s="3"/>
      <c r="C9" s="7"/>
      <c r="D9" s="14"/>
      <c r="E9" s="14"/>
      <c r="F9" s="7"/>
      <c r="G9" s="3"/>
      <c r="H9" s="9"/>
      <c r="I9" s="13"/>
    </row>
    <row r="10" spans="1:9" ht="19.8" x14ac:dyDescent="0.3">
      <c r="B10" s="15"/>
      <c r="C10" s="16"/>
      <c r="F10" s="16"/>
      <c r="G10" s="16"/>
      <c r="H10" s="17"/>
    </row>
    <row r="11" spans="1:9" ht="14.4" customHeight="1" x14ac:dyDescent="0.3">
      <c r="B11" s="36" t="s">
        <v>10</v>
      </c>
      <c r="C11" s="37" t="s">
        <v>1</v>
      </c>
      <c r="D11" s="38"/>
      <c r="E11" s="38"/>
      <c r="F11" s="39"/>
      <c r="G11" s="40" t="s">
        <v>11</v>
      </c>
      <c r="H11" s="43" t="s">
        <v>12</v>
      </c>
      <c r="I11" s="40" t="s">
        <v>13</v>
      </c>
    </row>
    <row r="12" spans="1:9" ht="31.95" customHeight="1" x14ac:dyDescent="0.3">
      <c r="B12" s="36"/>
      <c r="C12" s="20" t="s">
        <v>14</v>
      </c>
      <c r="D12" s="18" t="s">
        <v>15</v>
      </c>
      <c r="E12" s="18" t="s">
        <v>16</v>
      </c>
      <c r="F12" s="18" t="s">
        <v>17</v>
      </c>
      <c r="G12" s="41"/>
      <c r="H12" s="44"/>
      <c r="I12" s="41"/>
    </row>
    <row r="13" spans="1:9" ht="141" customHeight="1" x14ac:dyDescent="0.3">
      <c r="B13" s="21" t="s">
        <v>18</v>
      </c>
      <c r="C13" s="21" t="s">
        <v>19</v>
      </c>
      <c r="D13" s="21" t="s">
        <v>20</v>
      </c>
      <c r="E13" s="21" t="s">
        <v>21</v>
      </c>
      <c r="F13" s="22" t="s">
        <v>22</v>
      </c>
      <c r="G13" s="19">
        <v>2</v>
      </c>
      <c r="H13" s="23">
        <v>10</v>
      </c>
      <c r="I13" s="42">
        <f>((H13*G13)+(H14*G14)+(H15*G15))/10</f>
        <v>15</v>
      </c>
    </row>
    <row r="14" spans="1:9" ht="129.6" customHeight="1" x14ac:dyDescent="0.3">
      <c r="B14" s="21" t="s">
        <v>23</v>
      </c>
      <c r="C14" s="22" t="s">
        <v>24</v>
      </c>
      <c r="D14" s="21" t="s">
        <v>25</v>
      </c>
      <c r="E14" s="22" t="s">
        <v>26</v>
      </c>
      <c r="F14" s="21" t="s">
        <v>27</v>
      </c>
      <c r="G14" s="19">
        <v>3</v>
      </c>
      <c r="H14" s="23">
        <v>10</v>
      </c>
      <c r="I14" s="42"/>
    </row>
    <row r="15" spans="1:9" ht="64.2" customHeight="1" x14ac:dyDescent="0.3">
      <c r="B15" s="21" t="s">
        <v>28</v>
      </c>
      <c r="C15" s="22" t="s">
        <v>29</v>
      </c>
      <c r="D15" s="22" t="s">
        <v>30</v>
      </c>
      <c r="E15" s="22" t="s">
        <v>31</v>
      </c>
      <c r="F15" s="21" t="s">
        <v>32</v>
      </c>
      <c r="G15" s="19">
        <v>10</v>
      </c>
      <c r="H15" s="23">
        <v>10</v>
      </c>
      <c r="I15" s="42"/>
    </row>
    <row r="16" spans="1:9" x14ac:dyDescent="0.3">
      <c r="C16" s="16"/>
      <c r="D16" s="16"/>
      <c r="E16" s="16"/>
      <c r="F16" s="16"/>
      <c r="G16" s="16"/>
      <c r="H16" s="17"/>
    </row>
    <row r="17" spans="2:9" ht="31.95" customHeight="1" x14ac:dyDescent="0.3">
      <c r="B17" s="36" t="s">
        <v>10</v>
      </c>
      <c r="C17" s="37" t="s">
        <v>1</v>
      </c>
      <c r="D17" s="38"/>
      <c r="E17" s="38"/>
      <c r="F17" s="39"/>
      <c r="G17" s="40" t="s">
        <v>11</v>
      </c>
      <c r="H17" s="43" t="s">
        <v>12</v>
      </c>
      <c r="I17" s="40" t="s">
        <v>13</v>
      </c>
    </row>
    <row r="18" spans="2:9" x14ac:dyDescent="0.3">
      <c r="B18" s="36"/>
      <c r="C18" s="20" t="s">
        <v>14</v>
      </c>
      <c r="D18" s="18" t="s">
        <v>15</v>
      </c>
      <c r="E18" s="18" t="s">
        <v>16</v>
      </c>
      <c r="F18" s="18" t="s">
        <v>17</v>
      </c>
      <c r="G18" s="41"/>
      <c r="H18" s="44"/>
      <c r="I18" s="41"/>
    </row>
    <row r="19" spans="2:9" ht="49.2" customHeight="1" x14ac:dyDescent="0.3">
      <c r="B19" s="24" t="s">
        <v>33</v>
      </c>
      <c r="C19" s="24" t="s">
        <v>34</v>
      </c>
      <c r="D19" s="24" t="s">
        <v>35</v>
      </c>
      <c r="E19" s="24" t="s">
        <v>36</v>
      </c>
      <c r="F19" s="24" t="s">
        <v>37</v>
      </c>
      <c r="G19" s="19">
        <v>2</v>
      </c>
      <c r="H19" s="23">
        <v>10</v>
      </c>
      <c r="I19" s="40">
        <f>((H19*G19)+(H20*G20))/10</f>
        <v>5</v>
      </c>
    </row>
    <row r="20" spans="2:9" ht="65.400000000000006" customHeight="1" x14ac:dyDescent="0.3">
      <c r="B20" s="24" t="s">
        <v>38</v>
      </c>
      <c r="C20" s="24" t="s">
        <v>39</v>
      </c>
      <c r="D20" s="24" t="s">
        <v>40</v>
      </c>
      <c r="E20" s="24" t="s">
        <v>41</v>
      </c>
      <c r="F20" s="24" t="s">
        <v>42</v>
      </c>
      <c r="G20" s="19">
        <v>3</v>
      </c>
      <c r="H20" s="23">
        <v>10</v>
      </c>
      <c r="I20" s="48"/>
    </row>
    <row r="21" spans="2:9" ht="111.15" customHeight="1" x14ac:dyDescent="0.3">
      <c r="B21" s="24" t="s">
        <v>43</v>
      </c>
      <c r="C21" s="24" t="s">
        <v>44</v>
      </c>
      <c r="D21" s="24" t="s">
        <v>45</v>
      </c>
      <c r="E21" s="24" t="s">
        <v>46</v>
      </c>
      <c r="F21" s="24" t="s">
        <v>47</v>
      </c>
      <c r="G21" s="19">
        <v>40</v>
      </c>
      <c r="H21" s="23">
        <v>10</v>
      </c>
      <c r="I21" s="19">
        <f>(H21*G21)/10</f>
        <v>40</v>
      </c>
    </row>
    <row r="22" spans="2:9" x14ac:dyDescent="0.3">
      <c r="C22" s="16"/>
      <c r="D22" s="16"/>
      <c r="E22" s="16"/>
      <c r="F22" s="16"/>
      <c r="G22" s="16"/>
      <c r="H22" s="17"/>
    </row>
    <row r="23" spans="2:9" x14ac:dyDescent="0.3">
      <c r="C23" s="16"/>
      <c r="D23" s="16"/>
      <c r="E23" s="16"/>
      <c r="F23" s="16"/>
      <c r="G23" s="16"/>
      <c r="H23" s="17"/>
    </row>
    <row r="24" spans="2:9" ht="25.8" x14ac:dyDescent="0.5">
      <c r="B24" s="25" t="s">
        <v>48</v>
      </c>
      <c r="C24" s="26"/>
      <c r="D24" s="27"/>
      <c r="E24" s="27"/>
      <c r="F24" s="27"/>
      <c r="G24" s="27"/>
      <c r="H24" s="28"/>
      <c r="I24" s="27"/>
    </row>
    <row r="25" spans="2:9" ht="31.95" customHeight="1" x14ac:dyDescent="0.3">
      <c r="B25" s="36" t="s">
        <v>10</v>
      </c>
      <c r="C25" s="37" t="s">
        <v>1</v>
      </c>
      <c r="D25" s="38"/>
      <c r="E25" s="38"/>
      <c r="F25" s="39"/>
      <c r="G25" s="40" t="s">
        <v>11</v>
      </c>
      <c r="H25" s="43" t="s">
        <v>12</v>
      </c>
      <c r="I25" s="40" t="s">
        <v>13</v>
      </c>
    </row>
    <row r="26" spans="2:9" ht="27" customHeight="1" x14ac:dyDescent="0.3">
      <c r="B26" s="36"/>
      <c r="C26" s="20" t="s">
        <v>14</v>
      </c>
      <c r="D26" s="18" t="s">
        <v>15</v>
      </c>
      <c r="E26" s="18" t="s">
        <v>16</v>
      </c>
      <c r="F26" s="18" t="s">
        <v>17</v>
      </c>
      <c r="G26" s="41"/>
      <c r="H26" s="44"/>
      <c r="I26" s="41"/>
    </row>
    <row r="27" spans="2:9" ht="64.95" customHeight="1" x14ac:dyDescent="0.3">
      <c r="B27" s="21" t="s">
        <v>49</v>
      </c>
      <c r="C27" s="21" t="s">
        <v>29</v>
      </c>
      <c r="D27" s="21" t="s">
        <v>30</v>
      </c>
      <c r="E27" s="21" t="s">
        <v>31</v>
      </c>
      <c r="F27" s="22" t="s">
        <v>32</v>
      </c>
      <c r="G27" s="19">
        <v>10</v>
      </c>
      <c r="H27" s="23">
        <v>10</v>
      </c>
      <c r="I27" s="45">
        <f>((H27*G27)+(H28*G28)+(H29*G29)+(H30*G30))/10</f>
        <v>40</v>
      </c>
    </row>
    <row r="28" spans="2:9" ht="186" customHeight="1" x14ac:dyDescent="0.3">
      <c r="B28" s="21" t="s">
        <v>50</v>
      </c>
      <c r="C28" s="22" t="s">
        <v>51</v>
      </c>
      <c r="D28" s="21" t="s">
        <v>52</v>
      </c>
      <c r="E28" s="22" t="s">
        <v>53</v>
      </c>
      <c r="F28" s="21" t="s">
        <v>54</v>
      </c>
      <c r="G28" s="19">
        <v>20</v>
      </c>
      <c r="H28" s="23">
        <v>10</v>
      </c>
      <c r="I28" s="46"/>
    </row>
    <row r="29" spans="2:9" ht="112.2" customHeight="1" x14ac:dyDescent="0.3">
      <c r="B29" s="21" t="s">
        <v>55</v>
      </c>
      <c r="C29" s="22" t="s">
        <v>56</v>
      </c>
      <c r="D29" s="22" t="s">
        <v>57</v>
      </c>
      <c r="E29" s="22" t="s">
        <v>58</v>
      </c>
      <c r="F29" s="21" t="s">
        <v>59</v>
      </c>
      <c r="G29" s="19">
        <v>5</v>
      </c>
      <c r="H29" s="23">
        <v>10</v>
      </c>
      <c r="I29" s="46"/>
    </row>
    <row r="30" spans="2:9" ht="41.4" customHeight="1" x14ac:dyDescent="0.3">
      <c r="B30" s="21" t="s">
        <v>60</v>
      </c>
      <c r="C30" s="29" t="s">
        <v>61</v>
      </c>
      <c r="D30" s="29" t="s">
        <v>62</v>
      </c>
      <c r="E30" s="29" t="s">
        <v>63</v>
      </c>
      <c r="F30" s="29" t="s">
        <v>64</v>
      </c>
      <c r="G30" s="19">
        <v>5</v>
      </c>
      <c r="H30" s="23">
        <v>10</v>
      </c>
      <c r="I30" s="47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ht="14.4" customHeight="1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</sheetData>
  <mergeCells count="27">
    <mergeCell ref="I27:I30"/>
    <mergeCell ref="I19:I20"/>
    <mergeCell ref="B25:B26"/>
    <mergeCell ref="C25:F25"/>
    <mergeCell ref="G25:G26"/>
    <mergeCell ref="H25:H26"/>
    <mergeCell ref="I25:I26"/>
    <mergeCell ref="I11:I12"/>
    <mergeCell ref="I13:I15"/>
    <mergeCell ref="B17:B18"/>
    <mergeCell ref="C17:F17"/>
    <mergeCell ref="G17:G18"/>
    <mergeCell ref="H17:H18"/>
    <mergeCell ref="I17:I18"/>
    <mergeCell ref="H11:H12"/>
    <mergeCell ref="C7:D7"/>
    <mergeCell ref="E7:F7"/>
    <mergeCell ref="B11:B12"/>
    <mergeCell ref="C11:F11"/>
    <mergeCell ref="G11:G12"/>
    <mergeCell ref="C6:D6"/>
    <mergeCell ref="E6:F6"/>
    <mergeCell ref="A1:I1"/>
    <mergeCell ref="C4:D4"/>
    <mergeCell ref="E4:F4"/>
    <mergeCell ref="C5:D5"/>
    <mergeCell ref="E5:F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Intan Raihana Ruhaiyem</dc:creator>
  <cp:lastModifiedBy>Fatin Aina</cp:lastModifiedBy>
  <cp:lastPrinted>2026-04-01T08:05:50Z</cp:lastPrinted>
  <dcterms:created xsi:type="dcterms:W3CDTF">2026-02-19T09:25:20Z</dcterms:created>
  <dcterms:modified xsi:type="dcterms:W3CDTF">2026-04-01T08:06:38Z</dcterms:modified>
</cp:coreProperties>
</file>